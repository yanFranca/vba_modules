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994637d397f4a2c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Yan\Coding\Crypto\"/>
    </mc:Choice>
  </mc:AlternateContent>
  <bookViews>
    <workbookView xWindow="0" yWindow="0" windowWidth="28800" windowHeight="14240"/>
  </bookViews>
  <sheets>
    <sheet name="BITTREX" sheetId="1" r:id="rId1"/>
    <sheet name="backOffice" sheetId="2" r:id="rId2"/>
    <sheet name="Sheet1" sheetId="3" r:id="rId3"/>
  </sheets>
  <functionGroups builtInGroupCount="18">
    <functionGroup name="Pactual.Pricing - Base"/>
    <functionGroup name="Pactual.Pricing - Basic"/>
    <functionGroup name="Pactual.Pricing - FICC"/>
    <functionGroup name="Pactual.Pricing - FICC "/>
    <functionGroup name="Pactual.Pricing - FinCad"/>
    <functionGroup name="Pactual.Pricing - Option"/>
    <functionGroup name="Pactual.Pricing - Public"/>
    <functionGroup name="Pactual.Pricing - System"/>
    <functionGroup name="Pactual.Enterprise.Pricing"/>
  </functionGroups>
  <definedNames>
    <definedName name="_xlnm._FilterDatabase" localSheetId="0" hidden="1">BITTREX!$A$1:$H$10</definedName>
    <definedName name="cell_api_key">backOffice!$B$2</definedName>
    <definedName name="cell_api_secret">backOffice!$B$3</definedName>
    <definedName name="cell_bitfinex_api_key">backOffice!$B$7</definedName>
    <definedName name="cell_bitfinex_api_secret">backOffice!$B$8</definedName>
    <definedName name="cell_test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1" i="1" l="1"/>
  <c r="E2" i="1"/>
  <c r="B17" i="1"/>
  <c r="C21" i="1"/>
  <c r="B15" i="1"/>
  <c r="C5" i="1"/>
  <c r="D2" i="1"/>
  <c r="C3" i="1"/>
  <c r="B14" i="1"/>
  <c r="E4" i="1"/>
  <c r="A25" i="1"/>
  <c r="E3" i="1"/>
  <c r="C2" i="1"/>
  <c r="B16" i="1"/>
  <c r="E5" i="1"/>
  <c r="B19" i="1"/>
  <c r="D3" i="1"/>
  <c r="D4" i="1"/>
  <c r="E15" i="2"/>
  <c r="D5" i="1"/>
  <c r="C4" i="1"/>
  <c r="A24" i="1"/>
  <c r="B18" i="1"/>
  <c r="B13" i="1"/>
  <c r="C14" i="1" l="1"/>
  <c r="C19" i="1"/>
  <c r="C16" i="1"/>
  <c r="F2" i="1"/>
  <c r="F3" i="1"/>
  <c r="F5" i="1"/>
  <c r="F4" i="1"/>
  <c r="E7" i="1"/>
  <c r="D6" i="1"/>
  <c r="D8" i="1"/>
  <c r="D9" i="1"/>
  <c r="E6" i="1"/>
  <c r="C8" i="1"/>
  <c r="C7" i="1"/>
  <c r="E8" i="1"/>
  <c r="D7" i="1"/>
  <c r="D19" i="1"/>
  <c r="E9" i="1"/>
  <c r="C6" i="1"/>
  <c r="C9" i="1"/>
  <c r="D14" i="1"/>
  <c r="D16" i="1"/>
  <c r="C18" i="1" l="1"/>
  <c r="F7" i="1"/>
  <c r="C15" i="1"/>
  <c r="C13" i="1"/>
  <c r="C17" i="1"/>
  <c r="F9" i="1"/>
  <c r="F8" i="1"/>
  <c r="F6" i="1"/>
  <c r="D15" i="1"/>
  <c r="D18" i="1"/>
  <c r="D17" i="1"/>
  <c r="C20" i="1" l="1"/>
  <c r="D13" i="1"/>
  <c r="C22" i="1" l="1"/>
  <c r="D20" i="1"/>
  <c r="D23" i="1" l="1"/>
  <c r="D22" i="1"/>
</calcChain>
</file>

<file path=xl/sharedStrings.xml><?xml version="1.0" encoding="utf-8"?>
<sst xmlns="http://schemas.openxmlformats.org/spreadsheetml/2006/main" count="198" uniqueCount="124">
  <si>
    <t>USDT-NEO</t>
  </si>
  <si>
    <t>Last</t>
  </si>
  <si>
    <t>USDT-BTC</t>
  </si>
  <si>
    <t>High</t>
  </si>
  <si>
    <t>Low</t>
  </si>
  <si>
    <t>USDT-ETH</t>
  </si>
  <si>
    <t>Source:Bittrex</t>
  </si>
  <si>
    <t>USDT-LTC</t>
  </si>
  <si>
    <t>ETH</t>
  </si>
  <si>
    <t>LTC</t>
  </si>
  <si>
    <t>PAY</t>
  </si>
  <si>
    <t>OMG</t>
  </si>
  <si>
    <t>BTC</t>
  </si>
  <si>
    <t>USDT</t>
  </si>
  <si>
    <t>USD Balance</t>
  </si>
  <si>
    <t>BTC-PAY</t>
  </si>
  <si>
    <t>Coin</t>
  </si>
  <si>
    <t>NEO</t>
  </si>
  <si>
    <t>BTC-OMG</t>
  </si>
  <si>
    <t>Yield</t>
  </si>
  <si>
    <t>Index</t>
  </si>
  <si>
    <t>key</t>
  </si>
  <si>
    <t>Value</t>
  </si>
  <si>
    <t>secret</t>
  </si>
  <si>
    <t>BRL Balance</t>
  </si>
  <si>
    <t>Total</t>
  </si>
  <si>
    <t>Investment</t>
  </si>
  <si>
    <t>Delta From Min</t>
  </si>
  <si>
    <t>Coin Balance</t>
  </si>
  <si>
    <t>7e5ef6197eed4a2e8358494889cafe79</t>
  </si>
  <si>
    <t>e2cfe388c0fc4b1c82916ba62b2a7886</t>
  </si>
  <si>
    <r>
      <t xml:space="preserve">Profit </t>
    </r>
    <r>
      <rPr>
        <b/>
        <sz val="11"/>
        <color rgb="FFFF0000"/>
        <rFont val="Calibri"/>
        <family val="2"/>
        <scheme val="minor"/>
      </rPr>
      <t>(loss)</t>
    </r>
  </si>
  <si>
    <t>MCO</t>
  </si>
  <si>
    <t>BTC-MCO</t>
  </si>
  <si>
    <t>TKN</t>
  </si>
  <si>
    <t>BTC-TKN</t>
  </si>
  <si>
    <t>Bitfinex</t>
  </si>
  <si>
    <t>VV551SBJEuSbmRlQ9dtHEc2tgXsSr2u4xULp942qR0e</t>
  </si>
  <si>
    <t>OZfqj9QA0T67SlLLmYwHpn7WN54yiBdM7FzWG8d8oxn</t>
  </si>
  <si>
    <t>Bittrex</t>
  </si>
  <si>
    <t>Currency</t>
  </si>
  <si>
    <t>8d5edbfc-7adc-4a9d-8e95-6f7efada2280</t>
  </si>
  <si>
    <t>2017-10-07T23:42:46.81</t>
  </si>
  <si>
    <t>ETH-PAY</t>
  </si>
  <si>
    <t>LIMIT_BUY</t>
  </si>
  <si>
    <t>0671e17b-c59f-4c63-86f0-bcb8c2ccc7f3</t>
  </si>
  <si>
    <t>2017-10-07T23:40:55.557</t>
  </si>
  <si>
    <t>bc92f117-8604-43f5-9134-9519ed73f033</t>
  </si>
  <si>
    <t>2017-10-06T18:27:41.97</t>
  </si>
  <si>
    <t>ETH-TKN</t>
  </si>
  <si>
    <t>d938f203-4447-483d-886b-17de1730aef0</t>
  </si>
  <si>
    <t>2017-10-06T17:53:29.227</t>
  </si>
  <si>
    <t>0af5912a-e10d-4efe-9b0e-ccff601007e5</t>
  </si>
  <si>
    <t>2017-10-03T03:01:10.36</t>
  </si>
  <si>
    <t>149f517e-b1bf-467d-aa26-aedb19080006</t>
  </si>
  <si>
    <t>2017-10-03T00:45:38.53</t>
  </si>
  <si>
    <t>a1c79f45-93e8-4bd2-9af5-a78df5e6d10e</t>
  </si>
  <si>
    <t>2017-10-01T23:11:34.057</t>
  </si>
  <si>
    <t>LIMIT_SELL</t>
  </si>
  <si>
    <t>22935255-135e-4aa7-96b8-b315be8b4680</t>
  </si>
  <si>
    <t>2017-09-29T01:32:42.583</t>
  </si>
  <si>
    <t>e6397770-1085-4a08-9295-f6e87dac08d2</t>
  </si>
  <si>
    <t>2017-09-28T02:18:25.6</t>
  </si>
  <si>
    <t>13a9aa2f-6630-4358-8441-40efcef6cfac</t>
  </si>
  <si>
    <t>2017-09-29T01:28:14.613</t>
  </si>
  <si>
    <t>99a0bd92-5af0-4053-9d85-42537cd192e9</t>
  </si>
  <si>
    <t>2017-09-28T01:39:01.617</t>
  </si>
  <si>
    <t>075911ab-5f3e-406f-a11b-36c11e458ba7</t>
  </si>
  <si>
    <t>2017-09-28T01:24:41.12</t>
  </si>
  <si>
    <t>6cd8338a-2b92-4af4-8053-1dee0a2238f9</t>
  </si>
  <si>
    <t>2017-09-28T01:17:40.757</t>
  </si>
  <si>
    <t>429cff51-6c13-4178-9fff-0c92932c64e3</t>
  </si>
  <si>
    <t>2017-09-28T01:11:55.8</t>
  </si>
  <si>
    <t>d093aa69-36c8-4cac-99f2-8cb668068647</t>
  </si>
  <si>
    <t>2017-09-28T01:08:22.843</t>
  </si>
  <si>
    <t>8646a6a1-2220-4c6a-8cdd-788cad979ec1</t>
  </si>
  <si>
    <t>2017-09-27T13:16:51.457</t>
  </si>
  <si>
    <t>USDT-OMG</t>
  </si>
  <si>
    <t>57a6c873-e755-4ac5-a0b5-f62f5617df5e</t>
  </si>
  <si>
    <t>2017-09-25T16:29:18.023</t>
  </si>
  <si>
    <t>17b89404-a15c-4814-bbe5-19077afe3de5</t>
  </si>
  <si>
    <t>2017-09-18T23:54:21.747</t>
  </si>
  <si>
    <t>04672e19-1742-45ac-8557-4da5ecaa71a6</t>
  </si>
  <si>
    <t>2017-09-18T23:53:20.383</t>
  </si>
  <si>
    <t>27c479c3-8239-4935-b4e6-68deaf13b482</t>
  </si>
  <si>
    <t>2017-09-18T13:04:54.26</t>
  </si>
  <si>
    <t>05db63b5-5df6-45b2-b73b-c2025dc1bf54</t>
  </si>
  <si>
    <t>2017-09-18T13:05:50.467</t>
  </si>
  <si>
    <t>b03df88a-9e64-4659-afdd-feddfc6d2221</t>
  </si>
  <si>
    <t>2017-09-18T11:20:03.42</t>
  </si>
  <si>
    <t>157049b2-d323-45fd-8829-c6742ad30ee6</t>
  </si>
  <si>
    <t>2017-09-18T10:55:18.977</t>
  </si>
  <si>
    <t>eecedabd-82ef-463c-8bfd-e7ed712667d7</t>
  </si>
  <si>
    <t>2017-09-18T10:53:48.25</t>
  </si>
  <si>
    <t>66452a04-646b-49de-9f14-930364084c8c</t>
  </si>
  <si>
    <t>2017-09-18T03:09:00.23</t>
  </si>
  <si>
    <t>f93ffb10-c95c-4d72-9cf2-e968bdec90d6</t>
  </si>
  <si>
    <t>2017-09-18T03:04:31.68</t>
  </si>
  <si>
    <t>dc93ff1d-4269-4176-98f2-3dedfbe8ecf0</t>
  </si>
  <si>
    <t>2017-09-15T16:52:48.93</t>
  </si>
  <si>
    <t>40ee28fd-d3e0-474c-befb-1346cb65572e</t>
  </si>
  <si>
    <t>2017-09-15T16:51:30.087</t>
  </si>
  <si>
    <t>8cc9522c-2d93-4428-a7b0-1b34e7bceb5a</t>
  </si>
  <si>
    <t>2017-09-15T16:45:20.013</t>
  </si>
  <si>
    <t>40dd2482-ef63-4076-84be-183bf61c3b39</t>
  </si>
  <si>
    <t>2017-09-13T16:48:24.937</t>
  </si>
  <si>
    <t>9efa3d33-5928-4c93-8a1f-ea31bd66d99c</t>
  </si>
  <si>
    <t>2017-09-13T16:47:38.95</t>
  </si>
  <si>
    <t>8702c30e-9e4b-4063-a916-442c71ef6d02</t>
  </si>
  <si>
    <t>2017-09-13T16:43:12.69</t>
  </si>
  <si>
    <t>c9a2820f-6bbc-4762-8bad-a8c13c7bc87f</t>
  </si>
  <si>
    <t>2017-09-13T16:42:24.44</t>
  </si>
  <si>
    <t>d785b736-93a2-48d1-a18f-399efe3b3674</t>
  </si>
  <si>
    <t>2017-09-08T18:09:18.64</t>
  </si>
  <si>
    <t>UUID</t>
  </si>
  <si>
    <t>Market</t>
  </si>
  <si>
    <t>Type</t>
  </si>
  <si>
    <t>Quantity</t>
  </si>
  <si>
    <t>Price</t>
  </si>
  <si>
    <t>Time stamp</t>
  </si>
  <si>
    <t>Bid/ask</t>
  </si>
  <si>
    <t>Fee - USD</t>
  </si>
  <si>
    <t>3ed219f6-c826-4504-ba61-5d1f4f4c1161</t>
  </si>
  <si>
    <t>2017-10-12T15:04:20.963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</si>
</sst>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3" formatCode="_(* #,##0.00_);_(* \(#,##0.00\);_(* &quot;-&quot;??_);_(@_)"/>
    <numFmt numFmtId="164" formatCode="_(* #,##0.0_);_(* \(#,##0.0\);_(* &quot;-&quot;??_);_(@_)"/>
    <numFmt numFmtId="165" formatCode="_(* #,##0.000_);_(* \(#,##0.000\);_(* &quot;-&quot;??_);_(@_)"/>
    <numFmt numFmtId="166" formatCode="_(* #,##0.000000_);_(* \(#,##0.000000\);_(* &quot;-&quot;??_);_(@_)"/>
    <numFmt numFmtId="167" formatCode="#,##0.000_);[Red]\(#,##0.000\)"/>
    <numFmt numFmtId="168" formatCode="_(* #,##0.00000_);_(* \(#,##0.00000\);_(* &quot;-&quot;??_);_(@_)"/>
  </numFmts>
  <fonts count="8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i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18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42">
    <xf numFmtId="0" fontId="0" fillId="0" borderId="0" xfId="0"/>
    <xf numFmtId="164" fontId="1" fillId="0" borderId="0" xfId="1" applyNumberFormat="1" applyFont="1" applyFill="1" applyAlignment="1">
      <alignment horizontal="left"/>
    </xf>
    <xf numFmtId="165" fontId="2" fillId="2" borderId="3" xfId="1" applyNumberFormat="1" applyFont="1" applyFill="1" applyBorder="1" applyAlignment="1">
      <alignment horizontal="left"/>
    </xf>
    <xf numFmtId="165" fontId="2" fillId="2" borderId="4" xfId="1" applyNumberFormat="1" applyFont="1" applyFill="1" applyBorder="1" applyAlignment="1">
      <alignment horizontal="left"/>
    </xf>
    <xf numFmtId="165" fontId="2" fillId="2" borderId="5" xfId="1" applyNumberFormat="1" applyFont="1" applyFill="1" applyBorder="1" applyAlignment="1">
      <alignment horizontal="left"/>
    </xf>
    <xf numFmtId="165" fontId="3" fillId="0" borderId="0" xfId="1" applyNumberFormat="1" applyFont="1" applyFill="1" applyAlignment="1">
      <alignment horizontal="left"/>
    </xf>
    <xf numFmtId="165" fontId="1" fillId="3" borderId="3" xfId="1" applyNumberFormat="1" applyFont="1" applyFill="1" applyBorder="1" applyAlignment="1">
      <alignment horizontal="left"/>
    </xf>
    <xf numFmtId="165" fontId="1" fillId="0" borderId="0" xfId="1" applyNumberFormat="1" applyFont="1" applyFill="1" applyAlignment="1">
      <alignment horizontal="left"/>
    </xf>
    <xf numFmtId="165" fontId="1" fillId="0" borderId="3" xfId="1" applyNumberFormat="1" applyFont="1" applyBorder="1" applyAlignment="1">
      <alignment horizontal="left"/>
    </xf>
    <xf numFmtId="165" fontId="1" fillId="0" borderId="1" xfId="1" applyNumberFormat="1" applyFont="1" applyBorder="1" applyAlignment="1">
      <alignment horizontal="left"/>
    </xf>
    <xf numFmtId="9" fontId="1" fillId="3" borderId="4" xfId="2" applyFont="1" applyFill="1" applyBorder="1" applyAlignment="1">
      <alignment horizontal="right"/>
    </xf>
    <xf numFmtId="9" fontId="1" fillId="0" borderId="4" xfId="2" applyFont="1" applyBorder="1" applyAlignment="1">
      <alignment horizontal="right"/>
    </xf>
    <xf numFmtId="9" fontId="1" fillId="0" borderId="2" xfId="2" applyFont="1" applyBorder="1" applyAlignment="1">
      <alignment horizontal="right"/>
    </xf>
    <xf numFmtId="166" fontId="1" fillId="3" borderId="4" xfId="1" applyNumberFormat="1" applyFont="1" applyFill="1" applyBorder="1" applyAlignment="1">
      <alignment horizontal="right"/>
    </xf>
    <xf numFmtId="166" fontId="1" fillId="0" borderId="4" xfId="1" applyNumberFormat="1" applyFont="1" applyBorder="1" applyAlignment="1">
      <alignment horizontal="right"/>
    </xf>
    <xf numFmtId="166" fontId="1" fillId="0" borderId="2" xfId="1" applyNumberFormat="1" applyFont="1" applyBorder="1" applyAlignment="1">
      <alignment horizontal="right"/>
    </xf>
    <xf numFmtId="165" fontId="5" fillId="0" borderId="7" xfId="1" applyNumberFormat="1" applyFont="1" applyFill="1" applyBorder="1" applyAlignment="1">
      <alignment horizontal="left"/>
    </xf>
    <xf numFmtId="165" fontId="5" fillId="0" borderId="8" xfId="1" applyNumberFormat="1" applyFont="1" applyFill="1" applyBorder="1" applyAlignment="1">
      <alignment horizontal="left"/>
    </xf>
    <xf numFmtId="165" fontId="1" fillId="0" borderId="9" xfId="1" applyNumberFormat="1" applyFont="1" applyFill="1" applyBorder="1" applyAlignment="1">
      <alignment horizontal="left"/>
    </xf>
    <xf numFmtId="165" fontId="1" fillId="0" borderId="0" xfId="1" applyNumberFormat="1" applyFont="1" applyFill="1" applyBorder="1" applyAlignment="1">
      <alignment horizontal="left"/>
    </xf>
    <xf numFmtId="165" fontId="1" fillId="0" borderId="10" xfId="1" applyNumberFormat="1" applyFont="1" applyFill="1" applyBorder="1" applyAlignment="1">
      <alignment horizontal="left"/>
    </xf>
    <xf numFmtId="165" fontId="5" fillId="0" borderId="9" xfId="1" applyNumberFormat="1" applyFont="1" applyFill="1" applyBorder="1" applyAlignment="1">
      <alignment horizontal="left"/>
    </xf>
    <xf numFmtId="165" fontId="5" fillId="0" borderId="0" xfId="1" applyNumberFormat="1" applyFont="1" applyFill="1" applyBorder="1" applyAlignment="1">
      <alignment horizontal="left"/>
    </xf>
    <xf numFmtId="165" fontId="5" fillId="0" borderId="10" xfId="1" applyNumberFormat="1" applyFont="1" applyFill="1" applyBorder="1" applyAlignment="1">
      <alignment horizontal="left"/>
    </xf>
    <xf numFmtId="165" fontId="5" fillId="0" borderId="11" xfId="1" applyNumberFormat="1" applyFont="1" applyFill="1" applyBorder="1" applyAlignment="1">
      <alignment horizontal="left"/>
    </xf>
    <xf numFmtId="165" fontId="5" fillId="0" borderId="12" xfId="1" applyNumberFormat="1" applyFont="1" applyFill="1" applyBorder="1" applyAlignment="1">
      <alignment horizontal="left"/>
    </xf>
    <xf numFmtId="165" fontId="1" fillId="0" borderId="14" xfId="1" applyNumberFormat="1" applyFont="1" applyFill="1" applyBorder="1" applyAlignment="1">
      <alignment horizontal="left"/>
    </xf>
    <xf numFmtId="165" fontId="1" fillId="0" borderId="15" xfId="1" applyNumberFormat="1" applyFont="1" applyFill="1" applyBorder="1" applyAlignment="1">
      <alignment horizontal="left"/>
    </xf>
    <xf numFmtId="165" fontId="6" fillId="0" borderId="0" xfId="1" applyNumberFormat="1" applyFont="1" applyFill="1" applyAlignment="1">
      <alignment horizontal="left"/>
    </xf>
    <xf numFmtId="38" fontId="5" fillId="0" borderId="0" xfId="1" applyNumberFormat="1" applyFont="1" applyFill="1" applyBorder="1" applyAlignment="1">
      <alignment horizontal="right"/>
    </xf>
    <xf numFmtId="9" fontId="5" fillId="0" borderId="13" xfId="2" applyFont="1" applyFill="1" applyBorder="1" applyAlignment="1">
      <alignment horizontal="right"/>
    </xf>
    <xf numFmtId="165" fontId="1" fillId="0" borderId="0" xfId="1" applyNumberFormat="1" applyFont="1" applyFill="1" applyAlignment="1">
      <alignment horizontal="center"/>
    </xf>
    <xf numFmtId="165" fontId="1" fillId="0" borderId="11" xfId="1" applyNumberFormat="1" applyFont="1" applyFill="1" applyBorder="1" applyAlignment="1">
      <alignment horizontal="left"/>
    </xf>
    <xf numFmtId="165" fontId="5" fillId="0" borderId="6" xfId="1" applyNumberFormat="1" applyFont="1" applyFill="1" applyBorder="1" applyAlignment="1">
      <alignment horizontal="left"/>
    </xf>
    <xf numFmtId="167" fontId="5" fillId="0" borderId="10" xfId="1" applyNumberFormat="1" applyFont="1" applyFill="1" applyBorder="1" applyAlignment="1">
      <alignment horizontal="right"/>
    </xf>
    <xf numFmtId="9" fontId="1" fillId="0" borderId="0" xfId="2" applyFont="1" applyFill="1" applyBorder="1" applyAlignment="1">
      <alignment horizontal="right"/>
    </xf>
    <xf numFmtId="168" fontId="1" fillId="0" borderId="9" xfId="1" applyNumberFormat="1" applyFont="1" applyFill="1" applyBorder="1" applyAlignment="1">
      <alignment horizontal="left"/>
    </xf>
    <xf numFmtId="165" fontId="1" fillId="0" borderId="17" xfId="1" applyNumberFormat="1" applyFont="1" applyFill="1" applyBorder="1" applyAlignment="1">
      <alignment horizontal="left"/>
    </xf>
    <xf numFmtId="43" fontId="5" fillId="0" borderId="10" xfId="1" applyNumberFormat="1" applyFont="1" applyFill="1" applyBorder="1" applyAlignment="1">
      <alignment horizontal="left"/>
    </xf>
    <xf numFmtId="43" fontId="5" fillId="0" borderId="0" xfId="1" applyNumberFormat="1" applyFont="1" applyFill="1" applyBorder="1" applyAlignment="1">
      <alignment horizontal="right"/>
    </xf>
    <xf numFmtId="43" fontId="0" fillId="0" borderId="0" xfId="1" applyFont="1"/>
    <xf numFmtId="43" fontId="1" fillId="0" borderId="16" xfId="1" applyNumberFormat="1" applyFont="1" applyFill="1" applyBorder="1" applyAlignment="1">
      <alignment horizontal="left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Table1" displayName="Table1" ref="A1:H36" totalsRowShown="0">
  <autoFilter ref="A1:H36"/>
  <tableColumns count="8">
    <tableColumn id="1" name="UUID"/>
    <tableColumn id="2" name="Time stamp"/>
    <tableColumn id="3" name="Market"/>
    <tableColumn id="4" name="Type"/>
    <tableColumn id="5" name="Quantity" dataCellStyle="Comma"/>
    <tableColumn id="6" name="Bid/ask" dataCellStyle="Comma"/>
    <tableColumn id="7" name="Fee - USD" dataCellStyle="Comma"/>
    <tableColumn id="8" name="Price" dataCellStyle="Comm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25"/>
  <sheetViews>
    <sheetView showGridLines="0" tabSelected="1" zoomScaleNormal="100" workbookViewId="0"/>
  </sheetViews>
  <sheetFormatPr defaultColWidth="7.90625" defaultRowHeight="14.5" x14ac:dyDescent="0.35"/>
  <cols>
    <col min="1" max="1" width="13.90625" style="7" customWidth="1"/>
    <col min="2" max="2" width="13.1796875" style="7" bestFit="1" customWidth="1"/>
    <col min="3" max="3" width="12.453125" style="7" bestFit="1" customWidth="1"/>
    <col min="4" max="5" width="12.6328125" style="7" bestFit="1" customWidth="1"/>
    <col min="6" max="6" width="14.7265625" style="7" customWidth="1"/>
    <col min="7" max="7" width="12.6328125" style="7" bestFit="1" customWidth="1"/>
    <col min="8" max="8" width="16.6328125" style="7" customWidth="1"/>
    <col min="9" max="16384" width="7.90625" style="7"/>
  </cols>
  <sheetData>
    <row r="1" spans="1:7" s="5" customFormat="1" x14ac:dyDescent="0.35">
      <c r="A1" s="2" t="s">
        <v>16</v>
      </c>
      <c r="B1" s="2" t="s">
        <v>20</v>
      </c>
      <c r="C1" s="3" t="s">
        <v>1</v>
      </c>
      <c r="D1" s="3" t="s">
        <v>3</v>
      </c>
      <c r="E1" s="3" t="s">
        <v>4</v>
      </c>
      <c r="F1" s="4" t="s">
        <v>27</v>
      </c>
    </row>
    <row r="2" spans="1:7" x14ac:dyDescent="0.35">
      <c r="A2" s="6" t="s">
        <v>12</v>
      </c>
      <c r="B2" s="6" t="s">
        <v>2</v>
      </c>
      <c r="C2" s="13" t="str">
        <f t="shared" ref="C2:E5" si="0">TEXT(ROUND(Bittrex_Read_Coin_Parameter($B2,C$1),8),"0.000000")</f>
        <v>6410.000000</v>
      </c>
      <c r="D2" s="13" t="str">
        <f t="shared" si="0"/>
        <v>6750.000000</v>
      </c>
      <c r="E2" s="13" t="str">
        <f t="shared" si="0"/>
        <v>5625.000000</v>
      </c>
      <c r="F2" s="10">
        <f t="shared" ref="F2:F9" si="1">(C2-E2)/E2</f>
        <v>0.13955555555555554</v>
      </c>
    </row>
    <row r="3" spans="1:7" x14ac:dyDescent="0.35">
      <c r="A3" s="8" t="s">
        <v>8</v>
      </c>
      <c r="B3" s="8" t="s">
        <v>5</v>
      </c>
      <c r="C3" s="14" t="str">
        <f t="shared" si="0"/>
        <v>311.466500</v>
      </c>
      <c r="D3" s="14" t="str">
        <f t="shared" si="0"/>
        <v>317.100000</v>
      </c>
      <c r="E3" s="14" t="str">
        <f t="shared" si="0"/>
        <v>300.000000</v>
      </c>
      <c r="F3" s="11">
        <f t="shared" si="1"/>
        <v>3.8221666666666654E-2</v>
      </c>
    </row>
    <row r="4" spans="1:7" x14ac:dyDescent="0.35">
      <c r="A4" s="6" t="s">
        <v>17</v>
      </c>
      <c r="B4" s="6" t="s">
        <v>0</v>
      </c>
      <c r="C4" s="13" t="str">
        <f t="shared" si="0"/>
        <v>27.798999</v>
      </c>
      <c r="D4" s="13" t="str">
        <f t="shared" si="0"/>
        <v>28.750000</v>
      </c>
      <c r="E4" s="13" t="str">
        <f t="shared" si="0"/>
        <v>26.000000</v>
      </c>
      <c r="F4" s="10">
        <f t="shared" si="1"/>
        <v>6.9192269230769168E-2</v>
      </c>
    </row>
    <row r="5" spans="1:7" x14ac:dyDescent="0.35">
      <c r="A5" s="9" t="s">
        <v>9</v>
      </c>
      <c r="B5" s="9" t="s">
        <v>7</v>
      </c>
      <c r="C5" s="15" t="str">
        <f t="shared" si="0"/>
        <v>60.200000</v>
      </c>
      <c r="D5" s="15" t="str">
        <f t="shared" si="0"/>
        <v>61.750000</v>
      </c>
      <c r="E5" s="15" t="str">
        <f t="shared" si="0"/>
        <v>56.798330</v>
      </c>
      <c r="F5" s="12">
        <f t="shared" si="1"/>
        <v>5.9890317197706391E-2</v>
      </c>
    </row>
    <row r="6" spans="1:7" x14ac:dyDescent="0.35">
      <c r="A6" s="6" t="s">
        <v>10</v>
      </c>
      <c r="B6" s="6" t="s">
        <v>15</v>
      </c>
      <c r="C6" s="13">
        <f>TEXT(ROUND(Bittrex_Read_Coin_Parameter($B6,C$1),8),"0.000000")*$C$2</f>
        <v>1.5960899999999998</v>
      </c>
      <c r="D6" s="13">
        <f t="shared" ref="C6:E9" si="2">TEXT(ROUND(Bittrex_Read_Coin_Parameter($B6,D$1),8),"0.000000")*$C$2</f>
        <v>1.7242899999999999</v>
      </c>
      <c r="E6" s="13">
        <f t="shared" si="2"/>
        <v>1.53199</v>
      </c>
      <c r="F6" s="10">
        <f t="shared" si="1"/>
        <v>4.1841004184100306E-2</v>
      </c>
    </row>
    <row r="7" spans="1:7" x14ac:dyDescent="0.35">
      <c r="A7" s="9" t="s">
        <v>11</v>
      </c>
      <c r="B7" s="9" t="s">
        <v>18</v>
      </c>
      <c r="C7" s="15">
        <f>TEXT(ROUND(Bittrex_Read_Coin_Parameter($B7,C$1),8),"0.000000")*$C$2</f>
        <v>7.3202199999999999</v>
      </c>
      <c r="D7" s="15">
        <f t="shared" si="2"/>
        <v>7.9740400000000005</v>
      </c>
      <c r="E7" s="15">
        <f t="shared" si="2"/>
        <v>7.0766399999999994</v>
      </c>
      <c r="F7" s="12">
        <f t="shared" si="1"/>
        <v>3.4420289855072547E-2</v>
      </c>
    </row>
    <row r="8" spans="1:7" x14ac:dyDescent="0.35">
      <c r="A8" s="6" t="s">
        <v>32</v>
      </c>
      <c r="B8" s="6" t="s">
        <v>33</v>
      </c>
      <c r="C8" s="13">
        <f t="shared" si="2"/>
        <v>6.2241099999999996</v>
      </c>
      <c r="D8" s="13">
        <f t="shared" si="2"/>
        <v>6.9228000000000005</v>
      </c>
      <c r="E8" s="13">
        <f t="shared" si="2"/>
        <v>5.3715799999999998</v>
      </c>
      <c r="F8" s="10">
        <f t="shared" si="1"/>
        <v>0.15871121718377085</v>
      </c>
    </row>
    <row r="9" spans="1:7" x14ac:dyDescent="0.35">
      <c r="A9" s="9" t="s">
        <v>34</v>
      </c>
      <c r="B9" s="9" t="s">
        <v>35</v>
      </c>
      <c r="C9" s="15">
        <f t="shared" si="2"/>
        <v>1.2050799999999999</v>
      </c>
      <c r="D9" s="15">
        <f t="shared" si="2"/>
        <v>1.3653299999999999</v>
      </c>
      <c r="E9" s="15">
        <f t="shared" si="2"/>
        <v>1.1858500000000001</v>
      </c>
      <c r="F9" s="12">
        <f t="shared" si="1"/>
        <v>1.6216216216216096E-2</v>
      </c>
    </row>
    <row r="10" spans="1:7" x14ac:dyDescent="0.35">
      <c r="A10" s="28" t="s">
        <v>6</v>
      </c>
    </row>
    <row r="11" spans="1:7" ht="15" thickBot="1" x14ac:dyDescent="0.4"/>
    <row r="12" spans="1:7" x14ac:dyDescent="0.35">
      <c r="A12" s="33" t="s">
        <v>40</v>
      </c>
      <c r="B12" s="33" t="s">
        <v>28</v>
      </c>
      <c r="C12" s="16" t="s">
        <v>14</v>
      </c>
      <c r="D12" s="17" t="s">
        <v>24</v>
      </c>
    </row>
    <row r="13" spans="1:7" x14ac:dyDescent="0.35">
      <c r="A13" s="18" t="s">
        <v>10</v>
      </c>
      <c r="B13" s="36">
        <f t="shared" ref="B13:B19" si="3">Bittrex_Read_Bittrex_Account_Balance(A13)</f>
        <v>800.98174251</v>
      </c>
      <c r="C13" s="19">
        <f>B13*VLOOKUP(A13,$A$2:$C$9,3,FALSE)</f>
        <v>1278.4389494027857</v>
      </c>
      <c r="D13" s="20">
        <f t="shared" ref="D13:D20" si="4">C13*Ethereum_Exchange_Rate_BRL_USD()</f>
        <v>4207.5733508055646</v>
      </c>
      <c r="G13" s="1"/>
    </row>
    <row r="14" spans="1:7" x14ac:dyDescent="0.35">
      <c r="A14" s="18" t="s">
        <v>9</v>
      </c>
      <c r="B14" s="36">
        <f t="shared" si="3"/>
        <v>49.999999979999998</v>
      </c>
      <c r="C14" s="19">
        <f t="shared" ref="C14:C16" si="5">B14*VLOOKUP(A14,$A$2:$C$9,3,FALSE)</f>
        <v>3009.999998796</v>
      </c>
      <c r="D14" s="20">
        <f t="shared" si="4"/>
        <v>9906.4533247951404</v>
      </c>
    </row>
    <row r="15" spans="1:7" x14ac:dyDescent="0.35">
      <c r="A15" s="18" t="s">
        <v>11</v>
      </c>
      <c r="B15" s="36">
        <f t="shared" si="3"/>
        <v>200</v>
      </c>
      <c r="C15" s="19">
        <f>B15*VLOOKUP(A15,$A$2:$C$9,3,FALSE)</f>
        <v>1464.0440000000001</v>
      </c>
      <c r="D15" s="20">
        <f t="shared" si="4"/>
        <v>4818.4330754975981</v>
      </c>
    </row>
    <row r="16" spans="1:7" x14ac:dyDescent="0.35">
      <c r="A16" s="18" t="s">
        <v>8</v>
      </c>
      <c r="B16" s="36">
        <f t="shared" si="3"/>
        <v>12.008676700000001</v>
      </c>
      <c r="C16" s="19">
        <f t="shared" si="5"/>
        <v>3740.30050138055</v>
      </c>
      <c r="D16" s="20">
        <f t="shared" si="4"/>
        <v>12310.004103805821</v>
      </c>
    </row>
    <row r="17" spans="1:6" x14ac:dyDescent="0.35">
      <c r="A17" s="18" t="s">
        <v>34</v>
      </c>
      <c r="B17" s="36">
        <f t="shared" si="3"/>
        <v>300.42024607000002</v>
      </c>
      <c r="C17" s="19">
        <f>B17*VLOOKUP(A17,$A$2:$C$9,3,FALSE)</f>
        <v>362.03043013403561</v>
      </c>
      <c r="D17" s="20">
        <f t="shared" si="4"/>
        <v>1191.5074949212315</v>
      </c>
    </row>
    <row r="18" spans="1:6" x14ac:dyDescent="0.35">
      <c r="A18" s="18" t="s">
        <v>32</v>
      </c>
      <c r="B18" s="36">
        <f t="shared" ref="B18" si="6">Bittrex_Read_Bittrex_Account_Balance(A18)</f>
        <v>150</v>
      </c>
      <c r="C18" s="19">
        <f>B18*VLOOKUP(A18,$A$2:$C$9,3,FALSE)</f>
        <v>933.61649999999997</v>
      </c>
      <c r="D18" s="20">
        <f t="shared" si="4"/>
        <v>3072.70042664722</v>
      </c>
    </row>
    <row r="19" spans="1:6" x14ac:dyDescent="0.35">
      <c r="A19" s="26" t="s">
        <v>13</v>
      </c>
      <c r="B19" s="37">
        <f t="shared" si="3"/>
        <v>1134.63250401</v>
      </c>
      <c r="C19" s="27">
        <f>B19</f>
        <v>1134.63250401</v>
      </c>
      <c r="D19" s="41">
        <f t="shared" si="4"/>
        <v>3734.2803808194594</v>
      </c>
    </row>
    <row r="20" spans="1:6" x14ac:dyDescent="0.35">
      <c r="A20" s="21" t="s">
        <v>25</v>
      </c>
      <c r="B20" s="18"/>
      <c r="C20" s="22">
        <f>SUM(C13:C19)</f>
        <v>11923.062883723371</v>
      </c>
      <c r="D20" s="38">
        <f t="shared" si="4"/>
        <v>39240.952157292035</v>
      </c>
    </row>
    <row r="21" spans="1:6" x14ac:dyDescent="0.35">
      <c r="A21" s="21" t="s">
        <v>26</v>
      </c>
      <c r="B21" s="18"/>
      <c r="C21" s="22">
        <f>D21/Ethereum_Exchange_Rate_BRL_USD()</f>
        <v>14143.864150982745</v>
      </c>
      <c r="D21" s="23">
        <f>46550.01</f>
        <v>46550.01</v>
      </c>
    </row>
    <row r="22" spans="1:6" x14ac:dyDescent="0.35">
      <c r="A22" s="21" t="s">
        <v>31</v>
      </c>
      <c r="B22" s="18"/>
      <c r="C22" s="39">
        <f>C20-C21</f>
        <v>-2220.8012672593741</v>
      </c>
      <c r="D22" s="34">
        <f>D20-D21</f>
        <v>-7309.0578427079672</v>
      </c>
      <c r="E22" s="29"/>
      <c r="F22" s="35"/>
    </row>
    <row r="23" spans="1:6" ht="15" thickBot="1" x14ac:dyDescent="0.4">
      <c r="A23" s="24" t="s">
        <v>19</v>
      </c>
      <c r="B23" s="32"/>
      <c r="C23" s="25"/>
      <c r="D23" s="30">
        <f>D20/D21-1</f>
        <v>-0.1570151723427764</v>
      </c>
    </row>
    <row r="24" spans="1:6" x14ac:dyDescent="0.35">
      <c r="A24" s="28" t="str">
        <f>"1 USD = " &amp; ROUND(Ethereum_Exchange_Rate_BRL_USD(),3) &amp; " BRL"</f>
        <v>1 USD = 3.291 BRL</v>
      </c>
      <c r="B24" s="31"/>
    </row>
    <row r="25" spans="1:6" x14ac:dyDescent="0.35">
      <c r="A25" s="28" t="str">
        <f>"Crypto Market Cap = $" &amp; TEXT(ROUND(Crypto_Read_Market_Cap()/1000000000,0),"0,0") &amp; " bn"</f>
        <v>Crypto Market Cap = $204 bn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5"/>
  <sheetViews>
    <sheetView workbookViewId="0">
      <selection activeCell="C11" sqref="C11"/>
    </sheetView>
  </sheetViews>
  <sheetFormatPr defaultRowHeight="14.5" x14ac:dyDescent="0.35"/>
  <sheetData>
    <row r="1" spans="1:5" x14ac:dyDescent="0.35">
      <c r="A1" t="s">
        <v>39</v>
      </c>
      <c r="B1" t="s">
        <v>22</v>
      </c>
    </row>
    <row r="2" spans="1:5" x14ac:dyDescent="0.35">
      <c r="A2" t="s">
        <v>21</v>
      </c>
      <c r="B2" t="s">
        <v>29</v>
      </c>
    </row>
    <row r="3" spans="1:5" x14ac:dyDescent="0.35">
      <c r="A3" t="s">
        <v>23</v>
      </c>
      <c r="B3" t="s">
        <v>30</v>
      </c>
    </row>
    <row r="6" spans="1:5" x14ac:dyDescent="0.35">
      <c r="A6" t="s">
        <v>36</v>
      </c>
      <c r="B6" t="s">
        <v>22</v>
      </c>
    </row>
    <row r="7" spans="1:5" x14ac:dyDescent="0.35">
      <c r="A7" t="s">
        <v>21</v>
      </c>
      <c r="B7" t="s">
        <v>37</v>
      </c>
    </row>
    <row r="8" spans="1:5" x14ac:dyDescent="0.35">
      <c r="A8" t="s">
        <v>23</v>
      </c>
      <c r="B8" t="s">
        <v>38</v>
      </c>
    </row>
    <row r="15" spans="1:5" x14ac:dyDescent="0.35">
      <c r="E15" t="str">
        <f>QRCode(E13)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36"/>
  <sheetViews>
    <sheetView workbookViewId="0">
      <selection activeCell="A12" sqref="A12"/>
    </sheetView>
  </sheetViews>
  <sheetFormatPr defaultColWidth="8.6328125" defaultRowHeight="14.5" x14ac:dyDescent="0.35"/>
  <cols>
    <col min="1" max="1" width="36.26953125" bestFit="1" customWidth="1"/>
    <col min="2" max="2" width="22" bestFit="1" customWidth="1"/>
    <col min="3" max="3" width="10.26953125" bestFit="1" customWidth="1"/>
    <col min="4" max="4" width="10" bestFit="1" customWidth="1"/>
    <col min="5" max="5" width="11.81640625" bestFit="1" customWidth="1"/>
    <col min="6" max="6" width="10.81640625" bestFit="1" customWidth="1"/>
    <col min="7" max="7" width="11.81640625" bestFit="1" customWidth="1"/>
    <col min="8" max="8" width="12.6328125" customWidth="1"/>
  </cols>
  <sheetData>
    <row r="1" spans="1:8" x14ac:dyDescent="0.35">
      <c r="A1" t="s">
        <v>114</v>
      </c>
      <c r="B1" t="s">
        <v>119</v>
      </c>
      <c r="C1" t="s">
        <v>115</v>
      </c>
      <c r="D1" t="s">
        <v>116</v>
      </c>
      <c r="E1" t="s">
        <v>117</v>
      </c>
      <c r="F1" t="s">
        <v>120</v>
      </c>
      <c r="G1" t="s">
        <v>121</v>
      </c>
      <c r="H1" t="s">
        <v>118</v>
      </c>
    </row>
    <row r="2" spans="1:8" x14ac:dyDescent="0.35">
      <c r="A2" t="s">
        <v>122</v>
      </c>
      <c r="B2" t="s">
        <v>123</v>
      </c>
      <c r="C2" t="s">
        <v>5</v>
      </c>
      <c r="D2" t="s">
        <v>44</v>
      </c>
      <c r="E2" s="40">
        <v>4</v>
      </c>
      <c r="F2" s="40">
        <v>307.98888887999999</v>
      </c>
      <c r="G2" s="40">
        <v>3.0798888799999999</v>
      </c>
      <c r="H2" s="40">
        <v>307.98888887999999</v>
      </c>
    </row>
    <row r="3" spans="1:8" x14ac:dyDescent="0.35">
      <c r="A3" t="s">
        <v>41</v>
      </c>
      <c r="B3" t="s">
        <v>42</v>
      </c>
      <c r="C3" t="s">
        <v>43</v>
      </c>
      <c r="D3" t="s">
        <v>44</v>
      </c>
      <c r="E3" s="40">
        <v>450.98174251</v>
      </c>
      <c r="F3" s="40">
        <v>6.8622099999999997E-3</v>
      </c>
      <c r="G3" s="40">
        <v>7.7367699999999996E-3</v>
      </c>
      <c r="H3" s="40">
        <v>6.8621999999999997E-3</v>
      </c>
    </row>
    <row r="4" spans="1:8" x14ac:dyDescent="0.35">
      <c r="A4" t="s">
        <v>45</v>
      </c>
      <c r="B4" t="s">
        <v>46</v>
      </c>
      <c r="C4" t="s">
        <v>5</v>
      </c>
      <c r="D4" t="s">
        <v>44</v>
      </c>
      <c r="E4" s="40">
        <v>3</v>
      </c>
      <c r="F4" s="40">
        <v>312.2</v>
      </c>
      <c r="G4" s="40">
        <v>2.3414999999999999</v>
      </c>
      <c r="H4" s="40">
        <v>312.2</v>
      </c>
    </row>
    <row r="5" spans="1:8" x14ac:dyDescent="0.35">
      <c r="A5" t="s">
        <v>47</v>
      </c>
      <c r="B5" t="s">
        <v>48</v>
      </c>
      <c r="C5" t="s">
        <v>49</v>
      </c>
      <c r="D5" t="s">
        <v>44</v>
      </c>
      <c r="E5" s="40">
        <v>300.42024607000002</v>
      </c>
      <c r="F5" s="40">
        <v>5.33505E-3</v>
      </c>
      <c r="G5" s="40">
        <v>3.9988200000000002E-3</v>
      </c>
      <c r="H5" s="40">
        <v>5.3243099999999996E-3</v>
      </c>
    </row>
    <row r="6" spans="1:8" x14ac:dyDescent="0.35">
      <c r="A6" t="s">
        <v>50</v>
      </c>
      <c r="B6" t="s">
        <v>51</v>
      </c>
      <c r="C6" t="s">
        <v>7</v>
      </c>
      <c r="D6" t="s">
        <v>44</v>
      </c>
      <c r="E6" s="40">
        <v>20</v>
      </c>
      <c r="F6" s="40">
        <v>52</v>
      </c>
      <c r="G6" s="40">
        <v>2.6</v>
      </c>
      <c r="H6" s="40">
        <v>52</v>
      </c>
    </row>
    <row r="7" spans="1:8" x14ac:dyDescent="0.35">
      <c r="A7" t="s">
        <v>52</v>
      </c>
      <c r="B7" t="s">
        <v>53</v>
      </c>
      <c r="C7" t="s">
        <v>43</v>
      </c>
      <c r="D7" t="s">
        <v>44</v>
      </c>
      <c r="E7" s="40">
        <v>250</v>
      </c>
      <c r="F7" s="40">
        <v>8.29563E-3</v>
      </c>
      <c r="G7" s="40">
        <v>5.1846899999999996E-3</v>
      </c>
      <c r="H7" s="40">
        <v>8.2955200000000007E-3</v>
      </c>
    </row>
    <row r="8" spans="1:8" x14ac:dyDescent="0.35">
      <c r="A8" t="s">
        <v>54</v>
      </c>
      <c r="B8" t="s">
        <v>55</v>
      </c>
      <c r="C8" t="s">
        <v>5</v>
      </c>
      <c r="D8" t="s">
        <v>44</v>
      </c>
      <c r="E8" s="40">
        <v>3.5</v>
      </c>
      <c r="F8" s="40">
        <v>298.5</v>
      </c>
      <c r="G8" s="40">
        <v>2.61187499</v>
      </c>
      <c r="H8" s="40">
        <v>298.49999998999999</v>
      </c>
    </row>
    <row r="9" spans="1:8" x14ac:dyDescent="0.35">
      <c r="A9" t="s">
        <v>56</v>
      </c>
      <c r="B9" t="s">
        <v>57</v>
      </c>
      <c r="C9" t="s">
        <v>2</v>
      </c>
      <c r="D9" t="s">
        <v>58</v>
      </c>
      <c r="E9" s="40">
        <v>0.38343242999999999</v>
      </c>
      <c r="F9" s="40">
        <v>4400</v>
      </c>
      <c r="G9" s="40">
        <v>4.2177567299999996</v>
      </c>
      <c r="H9" s="40">
        <v>4400</v>
      </c>
    </row>
    <row r="10" spans="1:8" x14ac:dyDescent="0.35">
      <c r="A10" t="s">
        <v>59</v>
      </c>
      <c r="B10" t="s">
        <v>60</v>
      </c>
      <c r="C10" t="s">
        <v>33</v>
      </c>
      <c r="D10" t="s">
        <v>58</v>
      </c>
      <c r="E10" s="40">
        <v>192.19524912</v>
      </c>
      <c r="F10" s="40">
        <v>2E-3</v>
      </c>
      <c r="G10" s="40">
        <v>9.6095000000000002E-4</v>
      </c>
      <c r="H10" s="40">
        <v>1.9999900000000001E-3</v>
      </c>
    </row>
    <row r="11" spans="1:8" x14ac:dyDescent="0.35">
      <c r="A11" t="s">
        <v>61</v>
      </c>
      <c r="B11" t="s">
        <v>62</v>
      </c>
      <c r="C11" t="s">
        <v>5</v>
      </c>
      <c r="D11" t="s">
        <v>44</v>
      </c>
      <c r="E11" s="40">
        <v>7</v>
      </c>
      <c r="F11" s="40">
        <v>290</v>
      </c>
      <c r="G11" s="40">
        <v>5.0749999900000002</v>
      </c>
      <c r="H11" s="40">
        <v>290</v>
      </c>
    </row>
    <row r="12" spans="1:8" x14ac:dyDescent="0.35">
      <c r="A12" t="s">
        <v>63</v>
      </c>
      <c r="B12" t="s">
        <v>64</v>
      </c>
      <c r="C12" t="s">
        <v>33</v>
      </c>
      <c r="D12" t="s">
        <v>44</v>
      </c>
      <c r="E12" s="40">
        <v>192.19524912</v>
      </c>
      <c r="F12" s="40">
        <v>2.2916899999999999E-3</v>
      </c>
      <c r="G12" s="40">
        <v>1.10107E-3</v>
      </c>
      <c r="H12" s="40">
        <v>2.2916799999999999E-3</v>
      </c>
    </row>
    <row r="13" spans="1:8" x14ac:dyDescent="0.35">
      <c r="A13" t="s">
        <v>65</v>
      </c>
      <c r="B13" t="s">
        <v>66</v>
      </c>
      <c r="C13" t="s">
        <v>33</v>
      </c>
      <c r="D13" t="s">
        <v>58</v>
      </c>
      <c r="E13" s="40">
        <v>201.20879169</v>
      </c>
      <c r="F13" s="40">
        <v>2.2000000000000001E-3</v>
      </c>
      <c r="G13" s="40">
        <v>1.1066400000000001E-3</v>
      </c>
      <c r="H13" s="40">
        <v>2.1999900000000002E-3</v>
      </c>
    </row>
    <row r="14" spans="1:8" x14ac:dyDescent="0.35">
      <c r="A14" t="s">
        <v>67</v>
      </c>
      <c r="B14" t="s">
        <v>68</v>
      </c>
      <c r="C14" t="s">
        <v>33</v>
      </c>
      <c r="D14" t="s">
        <v>44</v>
      </c>
      <c r="E14" s="40">
        <v>185.85213016</v>
      </c>
      <c r="F14" s="40">
        <v>2.4899900000000001E-3</v>
      </c>
      <c r="G14" s="40">
        <v>1.15682E-3</v>
      </c>
      <c r="H14" s="40">
        <v>2.4899800000000001E-3</v>
      </c>
    </row>
    <row r="15" spans="1:8" x14ac:dyDescent="0.35">
      <c r="A15" t="s">
        <v>69</v>
      </c>
      <c r="B15" t="s">
        <v>70</v>
      </c>
      <c r="C15" t="s">
        <v>33</v>
      </c>
      <c r="D15" t="s">
        <v>44</v>
      </c>
      <c r="E15" s="40">
        <v>203.05399453999999</v>
      </c>
      <c r="F15" s="40">
        <v>2.4655100000000002E-3</v>
      </c>
      <c r="G15" s="40">
        <v>9.4629999999999994E-5</v>
      </c>
      <c r="H15" s="40">
        <v>2.4654999999999998E-3</v>
      </c>
    </row>
    <row r="16" spans="1:8" x14ac:dyDescent="0.35">
      <c r="A16" t="s">
        <v>71</v>
      </c>
      <c r="B16" t="s">
        <v>72</v>
      </c>
      <c r="C16" t="s">
        <v>2</v>
      </c>
      <c r="D16" t="s">
        <v>44</v>
      </c>
      <c r="E16" s="40">
        <v>0.5</v>
      </c>
      <c r="F16" s="40">
        <v>4188.4989999999998</v>
      </c>
      <c r="G16" s="40">
        <v>5.2356237500000002</v>
      </c>
      <c r="H16" s="40">
        <v>4188.4989999999998</v>
      </c>
    </row>
    <row r="17" spans="1:8" x14ac:dyDescent="0.35">
      <c r="A17" t="s">
        <v>73</v>
      </c>
      <c r="B17" t="s">
        <v>74</v>
      </c>
      <c r="C17" t="s">
        <v>2</v>
      </c>
      <c r="D17" t="s">
        <v>44</v>
      </c>
      <c r="E17" s="40">
        <v>0.5</v>
      </c>
      <c r="F17" s="40">
        <v>4179.5</v>
      </c>
      <c r="G17" s="40">
        <v>1.9710200000000001E-2</v>
      </c>
      <c r="H17" s="40">
        <v>4179.4999973399999</v>
      </c>
    </row>
    <row r="18" spans="1:8" x14ac:dyDescent="0.35">
      <c r="A18" t="s">
        <v>75</v>
      </c>
      <c r="B18" t="s">
        <v>76</v>
      </c>
      <c r="C18" t="s">
        <v>77</v>
      </c>
      <c r="D18" t="s">
        <v>44</v>
      </c>
      <c r="E18" s="40">
        <v>200</v>
      </c>
      <c r="F18" s="40">
        <v>10</v>
      </c>
      <c r="G18" s="40">
        <v>4.9999999700000002</v>
      </c>
      <c r="H18" s="40">
        <v>10</v>
      </c>
    </row>
    <row r="19" spans="1:8" x14ac:dyDescent="0.35">
      <c r="A19" t="s">
        <v>78</v>
      </c>
      <c r="B19" t="s">
        <v>79</v>
      </c>
      <c r="C19" t="s">
        <v>0</v>
      </c>
      <c r="D19" t="s">
        <v>58</v>
      </c>
      <c r="E19" s="40">
        <v>165</v>
      </c>
      <c r="F19" s="40">
        <v>24.5</v>
      </c>
      <c r="G19" s="40">
        <v>10.106249999999999</v>
      </c>
      <c r="H19" s="40">
        <v>24.5</v>
      </c>
    </row>
    <row r="20" spans="1:8" x14ac:dyDescent="0.35">
      <c r="A20" t="s">
        <v>80</v>
      </c>
      <c r="B20" t="s">
        <v>81</v>
      </c>
      <c r="C20" t="s">
        <v>5</v>
      </c>
      <c r="D20" t="s">
        <v>58</v>
      </c>
      <c r="E20" s="40">
        <v>10</v>
      </c>
      <c r="F20" s="40">
        <v>260</v>
      </c>
      <c r="G20" s="40">
        <v>6.4999999900000001</v>
      </c>
      <c r="H20" s="40">
        <v>260</v>
      </c>
    </row>
    <row r="21" spans="1:8" x14ac:dyDescent="0.35">
      <c r="A21" t="s">
        <v>82</v>
      </c>
      <c r="B21" t="s">
        <v>83</v>
      </c>
      <c r="C21" t="s">
        <v>2</v>
      </c>
      <c r="D21" t="s">
        <v>58</v>
      </c>
      <c r="E21" s="40">
        <v>1</v>
      </c>
      <c r="F21" s="40">
        <v>3700</v>
      </c>
      <c r="G21" s="40">
        <v>9.2499999899999992</v>
      </c>
      <c r="H21" s="40">
        <v>3700</v>
      </c>
    </row>
    <row r="22" spans="1:8" x14ac:dyDescent="0.35">
      <c r="A22" t="s">
        <v>84</v>
      </c>
      <c r="B22" t="s">
        <v>85</v>
      </c>
      <c r="C22" t="s">
        <v>7</v>
      </c>
      <c r="D22" t="s">
        <v>44</v>
      </c>
      <c r="E22" s="40">
        <v>20</v>
      </c>
      <c r="F22" s="40">
        <v>56</v>
      </c>
      <c r="G22" s="40">
        <v>2.7999999899999999</v>
      </c>
      <c r="H22" s="40">
        <v>56</v>
      </c>
    </row>
    <row r="23" spans="1:8" x14ac:dyDescent="0.35">
      <c r="A23" t="s">
        <v>86</v>
      </c>
      <c r="B23" t="s">
        <v>87</v>
      </c>
      <c r="C23" t="s">
        <v>0</v>
      </c>
      <c r="D23" t="s">
        <v>44</v>
      </c>
      <c r="E23" s="40">
        <v>55</v>
      </c>
      <c r="F23" s="40">
        <v>21.151</v>
      </c>
      <c r="G23" s="40">
        <v>2.9082625000000002</v>
      </c>
      <c r="H23" s="40">
        <v>21.151</v>
      </c>
    </row>
    <row r="24" spans="1:8" x14ac:dyDescent="0.35">
      <c r="A24" t="s">
        <v>88</v>
      </c>
      <c r="B24" t="s">
        <v>89</v>
      </c>
      <c r="C24" t="s">
        <v>2</v>
      </c>
      <c r="D24" t="s">
        <v>44</v>
      </c>
      <c r="E24" s="40">
        <v>1</v>
      </c>
      <c r="F24" s="40">
        <v>3979</v>
      </c>
      <c r="G24" s="40">
        <v>9.94</v>
      </c>
      <c r="H24" s="40">
        <v>3976</v>
      </c>
    </row>
    <row r="25" spans="1:8" x14ac:dyDescent="0.35">
      <c r="A25" t="s">
        <v>90</v>
      </c>
      <c r="B25" t="s">
        <v>91</v>
      </c>
      <c r="C25" t="s">
        <v>5</v>
      </c>
      <c r="D25" t="s">
        <v>44</v>
      </c>
      <c r="E25" s="40">
        <v>10</v>
      </c>
      <c r="F25" s="40">
        <v>286</v>
      </c>
      <c r="G25" s="40">
        <v>7.15</v>
      </c>
      <c r="H25" s="40">
        <v>286</v>
      </c>
    </row>
    <row r="26" spans="1:8" x14ac:dyDescent="0.35">
      <c r="A26" t="s">
        <v>92</v>
      </c>
      <c r="B26" t="s">
        <v>93</v>
      </c>
      <c r="C26" t="s">
        <v>0</v>
      </c>
      <c r="D26" t="s">
        <v>44</v>
      </c>
      <c r="E26" s="40">
        <v>110</v>
      </c>
      <c r="F26" s="40">
        <v>20.417000000000002</v>
      </c>
      <c r="G26" s="40">
        <v>5.6146750000000001</v>
      </c>
      <c r="H26" s="40">
        <v>20.417000000000002</v>
      </c>
    </row>
    <row r="27" spans="1:8" x14ac:dyDescent="0.35">
      <c r="A27" t="s">
        <v>94</v>
      </c>
      <c r="B27" t="s">
        <v>95</v>
      </c>
      <c r="C27" t="s">
        <v>2</v>
      </c>
      <c r="D27" t="s">
        <v>58</v>
      </c>
      <c r="E27" s="40">
        <v>1</v>
      </c>
      <c r="F27" s="40">
        <v>3800</v>
      </c>
      <c r="G27" s="40">
        <v>9.4999999899999992</v>
      </c>
      <c r="H27" s="40">
        <v>3800</v>
      </c>
    </row>
    <row r="28" spans="1:8" x14ac:dyDescent="0.35">
      <c r="A28" t="s">
        <v>96</v>
      </c>
      <c r="B28" t="s">
        <v>97</v>
      </c>
      <c r="C28" t="s">
        <v>2</v>
      </c>
      <c r="D28" t="s">
        <v>44</v>
      </c>
      <c r="E28" s="40">
        <v>1</v>
      </c>
      <c r="F28" s="40">
        <v>3794.0211595999999</v>
      </c>
      <c r="G28" s="40">
        <v>9.4824999900000009</v>
      </c>
      <c r="H28" s="40">
        <v>3793</v>
      </c>
    </row>
    <row r="29" spans="1:8" x14ac:dyDescent="0.35">
      <c r="A29" t="s">
        <v>98</v>
      </c>
      <c r="B29" t="s">
        <v>99</v>
      </c>
      <c r="C29" t="s">
        <v>15</v>
      </c>
      <c r="D29" t="s">
        <v>58</v>
      </c>
      <c r="E29" s="40">
        <v>917.20774301999995</v>
      </c>
      <c r="F29" s="40">
        <v>5.4347E-4</v>
      </c>
      <c r="G29" s="40">
        <v>1.24679E-3</v>
      </c>
      <c r="H29" s="40">
        <v>5.4374000000000002E-4</v>
      </c>
    </row>
    <row r="30" spans="1:8" x14ac:dyDescent="0.35">
      <c r="A30" t="s">
        <v>100</v>
      </c>
      <c r="B30" t="s">
        <v>101</v>
      </c>
      <c r="C30" t="s">
        <v>5</v>
      </c>
      <c r="D30" t="s">
        <v>58</v>
      </c>
      <c r="E30" s="40">
        <v>23.849760759999999</v>
      </c>
      <c r="F30" s="40">
        <v>243.16200000000001</v>
      </c>
      <c r="G30" s="40">
        <v>14.49838879</v>
      </c>
      <c r="H30" s="40">
        <v>243.16199999</v>
      </c>
    </row>
    <row r="31" spans="1:8" x14ac:dyDescent="0.35">
      <c r="A31" t="s">
        <v>102</v>
      </c>
      <c r="B31" t="s">
        <v>103</v>
      </c>
      <c r="C31" t="s">
        <v>0</v>
      </c>
      <c r="D31" t="s">
        <v>58</v>
      </c>
      <c r="E31" s="40">
        <v>100.10017151</v>
      </c>
      <c r="F31" s="40">
        <v>17.856000000000002</v>
      </c>
      <c r="G31" s="40">
        <v>4.4684716399999997</v>
      </c>
      <c r="H31" s="40">
        <v>17.855999990000001</v>
      </c>
    </row>
    <row r="32" spans="1:8" x14ac:dyDescent="0.35">
      <c r="A32" t="s">
        <v>104</v>
      </c>
      <c r="B32" t="s">
        <v>105</v>
      </c>
      <c r="C32" t="s">
        <v>5</v>
      </c>
      <c r="D32" t="s">
        <v>44</v>
      </c>
      <c r="E32" s="40">
        <v>10.849760760000001</v>
      </c>
      <c r="F32" s="40">
        <v>200</v>
      </c>
      <c r="G32" s="40">
        <v>5.4248803800000003</v>
      </c>
      <c r="H32" s="40">
        <v>200</v>
      </c>
    </row>
    <row r="33" spans="1:8" x14ac:dyDescent="0.35">
      <c r="A33" t="s">
        <v>106</v>
      </c>
      <c r="B33" t="s">
        <v>107</v>
      </c>
      <c r="C33" t="s">
        <v>2</v>
      </c>
      <c r="D33" t="s">
        <v>44</v>
      </c>
      <c r="E33" s="40">
        <v>1</v>
      </c>
      <c r="F33" s="40">
        <v>3000</v>
      </c>
      <c r="G33" s="40">
        <v>7.5</v>
      </c>
      <c r="H33" s="40">
        <v>3000</v>
      </c>
    </row>
    <row r="34" spans="1:8" x14ac:dyDescent="0.35">
      <c r="A34" t="s">
        <v>108</v>
      </c>
      <c r="B34" t="s">
        <v>109</v>
      </c>
      <c r="C34" t="s">
        <v>5</v>
      </c>
      <c r="D34" t="s">
        <v>58</v>
      </c>
      <c r="E34" s="40">
        <v>10</v>
      </c>
      <c r="F34" s="40">
        <v>268</v>
      </c>
      <c r="G34" s="40">
        <v>6.7</v>
      </c>
      <c r="H34" s="40">
        <v>268</v>
      </c>
    </row>
    <row r="35" spans="1:8" x14ac:dyDescent="0.35">
      <c r="A35" t="s">
        <v>110</v>
      </c>
      <c r="B35" t="s">
        <v>111</v>
      </c>
      <c r="C35" t="s">
        <v>2</v>
      </c>
      <c r="D35" t="s">
        <v>58</v>
      </c>
      <c r="E35" s="40">
        <v>0.65365790000000001</v>
      </c>
      <c r="F35" s="40">
        <v>3848.9</v>
      </c>
      <c r="G35" s="40">
        <v>6.2896597200000004</v>
      </c>
      <c r="H35" s="40">
        <v>3848.9</v>
      </c>
    </row>
    <row r="36" spans="1:8" x14ac:dyDescent="0.35">
      <c r="A36" t="s">
        <v>112</v>
      </c>
      <c r="B36" t="s">
        <v>113</v>
      </c>
      <c r="C36" t="s">
        <v>2</v>
      </c>
      <c r="D36" t="s">
        <v>44</v>
      </c>
      <c r="E36" s="40">
        <v>0.65365790000000001</v>
      </c>
      <c r="F36" s="40">
        <v>4000</v>
      </c>
      <c r="G36" s="40">
        <v>6.5365789999999997</v>
      </c>
      <c r="H36" s="40">
        <v>4000</v>
      </c>
    </row>
  </sheetData>
  <pageMargins left="0.7" right="0.7" top="0.75" bottom="0.75" header="0.3" footer="0.3"/>
  <tableParts count="1">
    <tablePart r:id="rId1"/>
  </tableParts>
</worksheet>
</file>

<file path=customUI/customUI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GetVisibl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BITTREX</vt:lpstr>
      <vt:lpstr>backOffice</vt:lpstr>
      <vt:lpstr>Sheet1</vt:lpstr>
      <vt:lpstr>cell_api_key</vt:lpstr>
      <vt:lpstr>cell_api_secret</vt:lpstr>
      <vt:lpstr>cell_bitfinex_api_key</vt:lpstr>
      <vt:lpstr>cell_bitfinex_api_secret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Macro</dc:creator>
  <cp:lastModifiedBy>Yan França</cp:lastModifiedBy>
  <dcterms:created xsi:type="dcterms:W3CDTF">2015-05-17T00:37:57Z</dcterms:created>
  <dcterms:modified xsi:type="dcterms:W3CDTF">2017-11-13T22:50:17Z</dcterms:modified>
</cp:coreProperties>
</file>